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elbin\Desktop\Data entri\"/>
    </mc:Choice>
  </mc:AlternateContent>
  <xr:revisionPtr revIDLastSave="0" documentId="13_ncr:1_{8F93FB34-432A-47FD-AEA0-BA70631F238F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structions" sheetId="1" r:id="rId1"/>
    <sheet name="Dataset" sheetId="2" r:id="rId2"/>
    <sheet name="CleanedData" sheetId="5" r:id="rId3"/>
  </sheets>
  <calcPr calcId="18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E31" i="2" l="1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D2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F4" i="2"/>
  <c r="F5" i="2"/>
  <c r="F6" i="2"/>
  <c r="F7" i="2"/>
  <c r="F8" i="2"/>
  <c r="F9" i="2"/>
  <c r="F10" i="2"/>
  <c r="F11" i="2"/>
  <c r="F12" i="2"/>
  <c r="F13" i="2"/>
  <c r="F14" i="2"/>
  <c r="F2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<sst xmlns="http://schemas.openxmlformats.org/spreadsheetml/2006/main" count="300" uniqueCount="159">
  <si>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</si>
  <si>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</si>
  <si>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</si>
  <si>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</si>
  <si>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</si>
  <si>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</si>
  <si>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</si>
  <si>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</si>
  <si>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</si>
  <si>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</si>
  <si>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</si>
  <si>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</si>
  <si>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</si>
  <si>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</si>
  <si>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</si>
  <si>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</si>
  <si>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</si>
  <si>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</si>
  <si>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</si>
  <si>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</si>
  <si>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</si>
  <si>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</si>
  <si>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</si>
  <si>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</si>
  <si>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</si>
  <si>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</si>
  <si>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</si>
  <si>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</si>
  <si>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</si>
  <si>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</si>
  <si>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</si>
  <si>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</si>
  <si>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</si>
  <si>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</si>
  <si>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</si>
  <si>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</si>
  <si>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</si>
  <si>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</si>
  <si>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</si>
  <si>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</si>
  <si>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</si>
  <si>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</si>
  <si>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</si>
  <si>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</si>
  <si>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</si>
  <si>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</si>
  <si>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</si>
  <si>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</si>
  <si>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</si>
  <si>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</si>
  <si>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</si>
  <si>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</si>
  <si>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</si>
  <si>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</si>
  <si>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</si>
  <si>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</si>
  <si>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</si>
  <si>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</si>
  <si>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</si>
  <si>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</si>
  <si>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</si>
  <si>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</si>
  <si>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</si>
  <si>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</si>
  <si>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</si>
  <si>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</si>
  <si>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</si>
  <si>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</si>
  <si>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</si>
  <si>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</si>
  <si>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</si>
  <si>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</si>
  <si>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</si>
  <si>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</si>
  <si>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</si>
  <si>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</si>
  <si>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</si>
  <si>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</si>
  <si>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</si>
  <si>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</si>
  <si>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1.Handling Missing Value</t>
  </si>
  <si>
    <t>1. a) There were 3 missing price values. Missing prices were imputed using the median price of comparable products. For camping tent same product comparison was unavailable, so the category median was used.</t>
  </si>
  <si>
    <t>2.Correcting Inconsistent Data</t>
  </si>
  <si>
    <t>Sony-headphone(Median)=250; Sunglasses-Ray-ban(Median)=150; Campintent(Category:Outdoor)(Median)=130</t>
  </si>
  <si>
    <t>T-Shirt</t>
  </si>
  <si>
    <t>3. Removing Duplicates</t>
  </si>
  <si>
    <t>4.Splitting and Merging Data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</si>
  <si>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</si>
  <si>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</si>
  <si>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</si>
  <si>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</si>
  <si>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</si>
  <si>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</si>
  <si>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</si>
  <si>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</si>
  <si>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</si>
  <si>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</si>
  <si>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</si>
  <si>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</si>
  <si>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</si>
  <si>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</si>
  <si>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</si>
  <si>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</si>
  <si>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</si>
  <si>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</si>
  <si>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</si>
  <si>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</si>
  <si>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</si>
  <si>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</si>
  <si>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</si>
  <si>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</si>
  <si>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ManufacturingDate</t>
  </si>
  <si>
    <t>CountryCode</t>
  </si>
  <si>
    <t>Product Brand</t>
  </si>
  <si>
    <t>5.Number Formatting</t>
  </si>
  <si>
    <t>ManufacturingDatewithYear</t>
  </si>
  <si>
    <t>6.Conditional Formatting</t>
  </si>
  <si>
    <t>Dell - Laptop</t>
  </si>
  <si>
    <t>Nike - Sneakers</t>
  </si>
  <si>
    <t>Keurig - Coffee Maker</t>
  </si>
  <si>
    <t>Samsung - Smartphone</t>
  </si>
  <si>
    <t>North Face - Backpack</t>
  </si>
  <si>
    <t>Sony - Headphones</t>
  </si>
  <si>
    <t>Adidas - T-Shirt</t>
  </si>
  <si>
    <t>Ninja - Blender</t>
  </si>
  <si>
    <t>Apple - Tablet</t>
  </si>
  <si>
    <t>Timberland - Hiking Boots</t>
  </si>
  <si>
    <t>HP - Laptop</t>
  </si>
  <si>
    <t>Adidas - Sneakers</t>
  </si>
  <si>
    <t>Nespresso - Coffee Maker</t>
  </si>
  <si>
    <t>Fitbit - Smartwatch</t>
  </si>
  <si>
    <t>Bose - Headphones</t>
  </si>
  <si>
    <t>Samsonite - Laptop Bag</t>
  </si>
  <si>
    <t>Huawei - Smartwatch</t>
  </si>
  <si>
    <t>Asus - Laptop</t>
  </si>
  <si>
    <t>Oakley - Sunglasses</t>
  </si>
  <si>
    <t>Coleman - Camping Tent</t>
  </si>
  <si>
    <t>Nikon - Camera</t>
  </si>
  <si>
    <t>Panasonic - Microwave</t>
  </si>
  <si>
    <t>Xiaomi - Fitness Tracker</t>
  </si>
  <si>
    <t>Google - Smartphone</t>
  </si>
  <si>
    <t>Ray-Ban - Sunglasses</t>
  </si>
  <si>
    <t>Vitamix - Blender</t>
  </si>
  <si>
    <t>Zara - Dress</t>
  </si>
  <si>
    <t>Hamilton - Toaster</t>
  </si>
  <si>
    <t>Garmin - Fitness Tracker</t>
  </si>
  <si>
    <t>Levi's - Jeans</t>
  </si>
  <si>
    <t>Casio - Watch</t>
  </si>
  <si>
    <t>I have uploaded the cleaned dataset in next sheet.</t>
  </si>
  <si>
    <r>
      <t xml:space="preserve">1.b)There were 4 missing category values. It was imputed based on the type of product: </t>
    </r>
    <r>
      <rPr>
        <b/>
        <sz val="10"/>
        <color rgb="FF000000"/>
        <rFont val="Arial"/>
        <family val="2"/>
        <scheme val="minor"/>
      </rPr>
      <t>Backpack= Outdoor; Sneakers= Fashion; Coffee Maker= Kitchen; Fitness Tracker= Electronics.</t>
    </r>
  </si>
  <si>
    <r>
      <t>2.a)I have changed the inconsistance data</t>
    </r>
    <r>
      <rPr>
        <b/>
        <sz val="10"/>
        <color rgb="FF000000"/>
        <rFont val="Arial"/>
        <family val="2"/>
        <scheme val="minor"/>
      </rPr>
      <t xml:space="preserve"> (Headphones, Smartphone, T-Shirt, Laptop) using ctrl+H and replaced the data</t>
    </r>
  </si>
  <si>
    <r>
      <t xml:space="preserve">2.b) Changed </t>
    </r>
    <r>
      <rPr>
        <b/>
        <sz val="10"/>
        <color rgb="FF000000"/>
        <rFont val="Arial"/>
        <family val="2"/>
        <scheme val="minor"/>
      </rPr>
      <t>category (Electroni=Electronics) using ctrl+H and replacement.</t>
    </r>
  </si>
  <si>
    <r>
      <t>3.a)3 exact duplicate rows were identified and</t>
    </r>
    <r>
      <rPr>
        <b/>
        <sz val="10"/>
        <color rgb="FF000000"/>
        <rFont val="Arial"/>
        <family val="2"/>
        <scheme val="minor"/>
      </rPr>
      <t xml:space="preserve"> removed based on all columns using data &gt; remove duplicates</t>
    </r>
  </si>
  <si>
    <r>
      <t xml:space="preserve">4.a)splited the ProductId column using text to coulmn function and created </t>
    </r>
    <r>
      <rPr>
        <b/>
        <sz val="10"/>
        <color rgb="FF000000"/>
        <rFont val="Arial"/>
        <family val="2"/>
        <scheme val="minor"/>
      </rPr>
      <t>Manufacturing date( =A2&amp;"-"&amp;B2) and country code(=c2) column</t>
    </r>
    <r>
      <rPr>
        <sz val="10"/>
        <color rgb="FF000000"/>
        <rFont val="Arial"/>
        <family val="2"/>
        <scheme val="minor"/>
      </rPr>
      <t xml:space="preserve"> and applied formula </t>
    </r>
  </si>
  <si>
    <r>
      <t xml:space="preserve">4.b) Merged product name and brand name as </t>
    </r>
    <r>
      <rPr>
        <b/>
        <sz val="10"/>
        <color rgb="FF000000"/>
        <rFont val="Arial"/>
        <family val="2"/>
        <scheme val="minor"/>
      </rPr>
      <t>Product Brand(one column) using formula =G2&amp;" -"&amp;F2)</t>
    </r>
  </si>
  <si>
    <r>
      <t xml:space="preserve">5.a) Selected </t>
    </r>
    <r>
      <rPr>
        <b/>
        <sz val="10"/>
        <color rgb="FF000000"/>
        <rFont val="Arial"/>
        <family val="2"/>
        <scheme val="minor"/>
      </rPr>
      <t>column price home&gt; number &gt; currency</t>
    </r>
  </si>
  <si>
    <r>
      <t>5.b)Used formula</t>
    </r>
    <r>
      <rPr>
        <b/>
        <sz val="10"/>
        <color rgb="FF000000"/>
        <rFont val="Arial"/>
        <family val="2"/>
        <scheme val="minor"/>
      </rPr>
      <t xml:space="preserve"> =DATE(2025,MONTH(DATEVALUE(B2&amp;" 1")),A2) ; Year is based on assumption just gave due to assignment task.</t>
    </r>
  </si>
  <si>
    <r>
      <t xml:space="preserve">6.a) applied data bar using  </t>
    </r>
    <r>
      <rPr>
        <b/>
        <sz val="10"/>
        <color rgb="FF000000"/>
        <rFont val="Arial"/>
        <family val="2"/>
        <scheme val="minor"/>
      </rPr>
      <t>home &gt; conditional formating</t>
    </r>
  </si>
  <si>
    <r>
      <t xml:space="preserve">6.b) applied using </t>
    </r>
    <r>
      <rPr>
        <b/>
        <sz val="10"/>
        <color rgb="FF000000"/>
        <rFont val="Arial"/>
        <family val="2"/>
        <scheme val="minor"/>
      </rPr>
      <t>home &gt; conditional formating &gt; highlight cell rules &gt; text that contains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</si>
</sst>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rgb="FFE0F7FA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rgb="FF4DD0E1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 applyAlignment="1"/>
    <xf numFmtId="0" fontId="9" fillId="0" borderId="0" xfId="0" applyFont="1" applyAlignme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 applyFont="1" applyAlignment="1"/>
    <xf numFmtId="0" fontId="11" fillId="2" borderId="0" xfId="0" applyFont="1" applyFill="1" applyAlignment="1">
      <alignment horizontal="center"/>
    </xf>
    <xf numFmtId="14" fontId="5" fillId="0" borderId="0" xfId="0" applyNumberFormat="1" applyFont="1"/>
    <xf numFmtId="164" fontId="5" fillId="4" borderId="0" xfId="0" applyNumberFormat="1" applyFont="1" applyFill="1"/>
    <xf numFmtId="0" fontId="8" fillId="0" borderId="0" xfId="0" applyFont="1"/>
    <xf numFmtId="0" fontId="8" fillId="5" borderId="0" xfId="0" applyFont="1" applyFill="1"/>
    <xf numFmtId="0" fontId="8" fillId="6" borderId="0" xfId="0" applyFont="1" applyFill="1" applyAlignment="1"/>
    <xf numFmtId="0" fontId="12" fillId="7" borderId="0" xfId="0" applyFont="1" applyFill="1" applyAlignment="1"/>
    <xf numFmtId="0" fontId="13" fillId="0" borderId="0" xfId="0" applyFont="1" applyAlignment="1"/>
  </cellXfs>
  <cellStyles count="1">
    <cellStyle name="Normal" xfId="0" builtinId="0"/>
  </cellStyles>
  <dxfs count="3">
    <dxf>
      <font>
        <color theme="4" tint="-0.24994659260841701"/>
      </font>
      <fill>
        <patternFill>
          <bgColor theme="4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</dxf>
    <dxf>
      <font>
        <color theme="4" tint="0.79998168889431442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E08AD-0854-454D-B150-566C22A0FB2C}" name="Table1" displayName="Table1" ref="A1:F32" totalsRowShown="0">
  <autoFilter ref="A1:F32" xr:uid="{9B063F96-9A9C-4EED-88FE-FF7581D2AEAF}"/>
  <tableColumns count="6">
    <tableColumn id="1" xr3:uid="{358AC5A2-829F-4EC0-887C-8068341F0B8F}" name="ManufacturingDatewithYear" dataDxfId="1"/>
    <tableColumn id="2" xr3:uid="{18CC94A4-2405-4229-8C06-C8335FA50A5D}" name="CountryCode"/>
    <tableColumn id="3" xr3:uid="{A8E69D75-C463-4F32-A4DB-E9510382F18C}" name="Product Brand"/>
    <tableColumn id="4" xr3:uid="{5B36AFED-4B0A-4E46-AD6D-249371ADC416}" name="Price ($)"/>
    <tableColumn id="5" xr3:uid="{AEBB93C6-6724-46D7-B6A9-5B87A59B9153}" name="Quantity"/>
    <tableColumn id="6" xr3:uid="{89EF174F-C840-42BF-92F4-483478A62E36}" name="Category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Normal="100" workbookViewId="0">
      <selection activeCell="B7" sqref="B7:N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topLeftCell="I1" zoomScale="70" zoomScaleNormal="70" workbookViewId="0">
      <selection activeCell="O27" sqref="O27"/>
    </sheetView>
  </sheetViews>
  <sheetFormatPr defaultColWidth="12.6640625" defaultRowHeight="15" customHeight="1" x14ac:dyDescent="0.25"/>
  <cols>
    <col min="1" max="3" width="12.6640625" customWidth="1"/>
    <col min="4" max="4" width="18.33203125" customWidth="1"/>
    <col min="5" max="5" width="27.6640625" customWidth="1"/>
    <col min="6" max="6" width="18.33203125" customWidth="1"/>
    <col min="7" max="8" width="12.6640625" customWidth="1"/>
    <col min="9" max="9" width="25.33203125" customWidth="1"/>
    <col min="10" max="10" width="12.6640625" style="18" customWidth="1"/>
    <col min="11" max="12" width="12.6640625" customWidth="1"/>
    <col min="15" max="15" width="195.109375" customWidth="1"/>
  </cols>
  <sheetData>
    <row r="1" spans="1:23" ht="15.75" customHeight="1" x14ac:dyDescent="0.25">
      <c r="A1" s="9" t="s">
        <v>19</v>
      </c>
      <c r="B1" s="9"/>
      <c r="C1" s="9"/>
      <c r="D1" s="9" t="s">
        <v>111</v>
      </c>
      <c r="E1" s="19" t="s">
        <v>115</v>
      </c>
      <c r="F1" s="9" t="s">
        <v>112</v>
      </c>
      <c r="G1" s="9" t="s">
        <v>20</v>
      </c>
      <c r="H1" s="9" t="s">
        <v>21</v>
      </c>
      <c r="I1" s="9" t="s">
        <v>113</v>
      </c>
      <c r="J1" s="15" t="s">
        <v>22</v>
      </c>
      <c r="K1" s="9" t="s">
        <v>23</v>
      </c>
      <c r="L1" s="9" t="s">
        <v>24</v>
      </c>
      <c r="M1" s="9"/>
      <c r="N1" s="9"/>
      <c r="O1" s="9" t="s">
        <v>80</v>
      </c>
    </row>
    <row r="2" spans="1:23" ht="15.75" customHeight="1" x14ac:dyDescent="0.25">
      <c r="A2" s="10">
        <v>28</v>
      </c>
      <c r="B2" s="10" t="s">
        <v>87</v>
      </c>
      <c r="C2" s="10" t="s">
        <v>88</v>
      </c>
      <c r="D2" s="10" t="str">
        <f>A2&amp;"-"&amp;B2</f>
        <v>28-JAN</v>
      </c>
      <c r="E2" s="20">
        <f>DATE(2025,MONTH(DATEVALUE(B2&amp;" 1")),A2)</f>
        <v>45685</v>
      </c>
      <c r="F2" s="10" t="str">
        <f>C2</f>
        <v>US</v>
      </c>
      <c r="G2" s="10" t="s">
        <v>46</v>
      </c>
      <c r="H2" s="10" t="s">
        <v>25</v>
      </c>
      <c r="I2" s="10" t="str">
        <f>H2&amp;" - "&amp;G2</f>
        <v>Dell - Laptop</v>
      </c>
      <c r="J2" s="16">
        <v>1000</v>
      </c>
      <c r="K2" s="10">
        <v>30</v>
      </c>
      <c r="L2" s="10" t="s">
        <v>26</v>
      </c>
      <c r="O2" t="s">
        <v>81</v>
      </c>
    </row>
    <row r="3" spans="1:23" ht="15.75" customHeight="1" x14ac:dyDescent="0.3">
      <c r="A3" s="11">
        <v>15</v>
      </c>
      <c r="B3" s="11" t="s">
        <v>89</v>
      </c>
      <c r="C3" s="11" t="s">
        <v>88</v>
      </c>
      <c r="D3" s="10" t="str">
        <f t="shared" ref="D3:D32" si="0">A3&amp;"-"&amp;B3</f>
        <v>15-FEB</v>
      </c>
      <c r="E3" s="20">
        <f t="shared" ref="E3:E32" si="1">DATE(2025,MONTH(DATEVALUE(B3&amp;" 1")),A3)</f>
        <v>45703</v>
      </c>
      <c r="F3" s="10" t="str">
        <f t="shared" ref="F3:F32" si="2">C3</f>
        <v>US</v>
      </c>
      <c r="G3" s="11" t="s">
        <v>27</v>
      </c>
      <c r="H3" s="11" t="s">
        <v>28</v>
      </c>
      <c r="I3" s="10" t="str">
        <f t="shared" ref="I3:I32" si="3">H3&amp;" - "&amp;G3</f>
        <v>Nike - Sneakers</v>
      </c>
      <c r="J3" s="17">
        <v>80</v>
      </c>
      <c r="K3" s="11">
        <v>15</v>
      </c>
      <c r="L3" s="11" t="s">
        <v>29</v>
      </c>
      <c r="O3" s="14" t="s">
        <v>83</v>
      </c>
      <c r="P3" s="5"/>
      <c r="Q3" s="6"/>
      <c r="R3" s="6"/>
      <c r="S3" s="6"/>
      <c r="T3" s="6"/>
      <c r="U3" s="6"/>
      <c r="V3" s="6"/>
      <c r="W3" s="6"/>
    </row>
    <row r="4" spans="1:23" ht="15.75" customHeight="1" x14ac:dyDescent="0.3">
      <c r="A4" s="10">
        <v>3</v>
      </c>
      <c r="B4" s="10" t="s">
        <v>90</v>
      </c>
      <c r="C4" s="10" t="s">
        <v>88</v>
      </c>
      <c r="D4" s="10" t="str">
        <f t="shared" si="0"/>
        <v>3-MAR</v>
      </c>
      <c r="E4" s="20">
        <f t="shared" si="1"/>
        <v>45719</v>
      </c>
      <c r="F4" s="10" t="str">
        <f t="shared" si="2"/>
        <v>US</v>
      </c>
      <c r="G4" s="10" t="s">
        <v>30</v>
      </c>
      <c r="H4" s="10" t="s">
        <v>31</v>
      </c>
      <c r="I4" s="10" t="str">
        <f t="shared" si="3"/>
        <v>Keurig - Coffee Maker</v>
      </c>
      <c r="J4" s="16">
        <v>130</v>
      </c>
      <c r="K4" s="10">
        <v>40</v>
      </c>
      <c r="L4" s="10" t="s">
        <v>32</v>
      </c>
      <c r="O4" s="13" t="s">
        <v>149</v>
      </c>
      <c r="P4" s="6"/>
      <c r="Q4" s="7"/>
      <c r="R4" s="6"/>
      <c r="S4" s="6"/>
      <c r="T4" s="6"/>
      <c r="U4" s="6"/>
      <c r="V4" s="6"/>
      <c r="W4" s="6"/>
    </row>
    <row r="5" spans="1:23" ht="15.75" customHeight="1" x14ac:dyDescent="0.3">
      <c r="A5" s="11">
        <v>11</v>
      </c>
      <c r="B5" s="11" t="s">
        <v>91</v>
      </c>
      <c r="C5" s="11" t="s">
        <v>88</v>
      </c>
      <c r="D5" s="10" t="str">
        <f t="shared" si="0"/>
        <v>11-APR</v>
      </c>
      <c r="E5" s="20">
        <f t="shared" si="1"/>
        <v>45758</v>
      </c>
      <c r="F5" s="10" t="str">
        <f t="shared" si="2"/>
        <v>US</v>
      </c>
      <c r="G5" s="11" t="s">
        <v>67</v>
      </c>
      <c r="H5" s="11" t="s">
        <v>33</v>
      </c>
      <c r="I5" s="10" t="str">
        <f t="shared" si="3"/>
        <v>Samsung - Smartphone</v>
      </c>
      <c r="J5" s="17">
        <v>900</v>
      </c>
      <c r="K5" s="11">
        <v>25</v>
      </c>
      <c r="L5" s="11" t="s">
        <v>26</v>
      </c>
      <c r="O5" s="12" t="s">
        <v>82</v>
      </c>
      <c r="P5" s="6"/>
      <c r="Q5" s="7"/>
      <c r="R5" s="6"/>
      <c r="S5" s="6"/>
      <c r="T5" s="6"/>
      <c r="U5" s="6"/>
      <c r="V5" s="6"/>
      <c r="W5" s="6"/>
    </row>
    <row r="6" spans="1:23" ht="15.75" customHeight="1" x14ac:dyDescent="0.25">
      <c r="A6" s="10">
        <v>22</v>
      </c>
      <c r="B6" s="10" t="s">
        <v>92</v>
      </c>
      <c r="C6" s="10" t="s">
        <v>88</v>
      </c>
      <c r="D6" s="10" t="str">
        <f t="shared" si="0"/>
        <v>22-MAY</v>
      </c>
      <c r="E6" s="20">
        <f t="shared" si="1"/>
        <v>45799</v>
      </c>
      <c r="F6" s="10" t="str">
        <f t="shared" si="2"/>
        <v>US</v>
      </c>
      <c r="G6" s="10" t="s">
        <v>34</v>
      </c>
      <c r="H6" s="10" t="s">
        <v>35</v>
      </c>
      <c r="I6" s="10" t="str">
        <f t="shared" si="3"/>
        <v>North Face - Backpack</v>
      </c>
      <c r="J6" s="16">
        <v>70</v>
      </c>
      <c r="K6" s="10">
        <v>20</v>
      </c>
      <c r="L6" s="22" t="s">
        <v>45</v>
      </c>
      <c r="O6" s="13" t="s">
        <v>150</v>
      </c>
    </row>
    <row r="7" spans="1:23" ht="15.75" customHeight="1" x14ac:dyDescent="0.25">
      <c r="A7" s="11">
        <v>7</v>
      </c>
      <c r="B7" s="11" t="s">
        <v>93</v>
      </c>
      <c r="C7" s="11" t="s">
        <v>94</v>
      </c>
      <c r="D7" s="10" t="str">
        <f t="shared" si="0"/>
        <v>7-JUN</v>
      </c>
      <c r="E7" s="20">
        <f t="shared" si="1"/>
        <v>45815</v>
      </c>
      <c r="F7" s="10" t="str">
        <f t="shared" si="2"/>
        <v>UK</v>
      </c>
      <c r="G7" s="11" t="s">
        <v>36</v>
      </c>
      <c r="H7" s="11" t="s">
        <v>37</v>
      </c>
      <c r="I7" s="10" t="str">
        <f t="shared" si="3"/>
        <v>Sony - Headphones</v>
      </c>
      <c r="J7" s="21">
        <v>250</v>
      </c>
      <c r="K7" s="11">
        <v>45</v>
      </c>
      <c r="L7" s="11" t="s">
        <v>26</v>
      </c>
      <c r="O7" s="13" t="s">
        <v>151</v>
      </c>
    </row>
    <row r="8" spans="1:23" ht="15.75" customHeight="1" x14ac:dyDescent="0.25">
      <c r="A8" s="10">
        <v>19</v>
      </c>
      <c r="B8" s="10" t="s">
        <v>95</v>
      </c>
      <c r="C8" s="10" t="s">
        <v>94</v>
      </c>
      <c r="D8" s="10" t="str">
        <f t="shared" si="0"/>
        <v>19-JUL</v>
      </c>
      <c r="E8" s="20">
        <f t="shared" si="1"/>
        <v>45857</v>
      </c>
      <c r="F8" s="10" t="str">
        <f t="shared" si="2"/>
        <v>UK</v>
      </c>
      <c r="G8" s="10" t="s">
        <v>84</v>
      </c>
      <c r="H8" s="10" t="s">
        <v>38</v>
      </c>
      <c r="I8" s="10" t="str">
        <f t="shared" si="3"/>
        <v>Adidas - T-Shirt</v>
      </c>
      <c r="J8" s="16">
        <v>30</v>
      </c>
      <c r="K8" s="10">
        <v>5</v>
      </c>
      <c r="L8" s="10" t="s">
        <v>29</v>
      </c>
      <c r="O8" s="12" t="s">
        <v>85</v>
      </c>
    </row>
    <row r="9" spans="1:23" ht="15.75" customHeight="1" x14ac:dyDescent="0.25">
      <c r="A9" s="11">
        <v>23</v>
      </c>
      <c r="B9" s="11" t="s">
        <v>96</v>
      </c>
      <c r="C9" s="11" t="s">
        <v>94</v>
      </c>
      <c r="D9" s="10" t="str">
        <f t="shared" si="0"/>
        <v>23-AUG</v>
      </c>
      <c r="E9" s="20">
        <f t="shared" si="1"/>
        <v>45892</v>
      </c>
      <c r="F9" s="10" t="str">
        <f t="shared" si="2"/>
        <v>UK</v>
      </c>
      <c r="G9" s="11" t="s">
        <v>39</v>
      </c>
      <c r="H9" s="11" t="s">
        <v>40</v>
      </c>
      <c r="I9" s="10" t="str">
        <f t="shared" si="3"/>
        <v>Ninja - Blender</v>
      </c>
      <c r="J9" s="17">
        <v>90</v>
      </c>
      <c r="K9" s="11">
        <v>35</v>
      </c>
      <c r="L9" s="11" t="s">
        <v>32</v>
      </c>
      <c r="O9" s="13" t="s">
        <v>152</v>
      </c>
    </row>
    <row r="10" spans="1:23" ht="15.75" customHeight="1" x14ac:dyDescent="0.25">
      <c r="A10" s="10">
        <v>5</v>
      </c>
      <c r="B10" s="10" t="s">
        <v>97</v>
      </c>
      <c r="C10" s="10" t="s">
        <v>94</v>
      </c>
      <c r="D10" s="10" t="str">
        <f t="shared" si="0"/>
        <v>5-SEP</v>
      </c>
      <c r="E10" s="20">
        <f t="shared" si="1"/>
        <v>45905</v>
      </c>
      <c r="F10" s="10" t="str">
        <f t="shared" si="2"/>
        <v>UK</v>
      </c>
      <c r="G10" s="10" t="s">
        <v>41</v>
      </c>
      <c r="H10" s="10" t="s">
        <v>42</v>
      </c>
      <c r="I10" s="10" t="str">
        <f t="shared" si="3"/>
        <v>Apple - Tablet</v>
      </c>
      <c r="J10" s="16">
        <v>500</v>
      </c>
      <c r="K10" s="10">
        <v>50</v>
      </c>
      <c r="L10" s="10" t="s">
        <v>26</v>
      </c>
      <c r="O10" s="12" t="s">
        <v>86</v>
      </c>
    </row>
    <row r="11" spans="1:23" ht="15.75" customHeight="1" x14ac:dyDescent="0.25">
      <c r="A11" s="11">
        <v>14</v>
      </c>
      <c r="B11" s="11" t="s">
        <v>98</v>
      </c>
      <c r="C11" s="11" t="s">
        <v>94</v>
      </c>
      <c r="D11" s="10" t="str">
        <f t="shared" si="0"/>
        <v>14-OCT</v>
      </c>
      <c r="E11" s="20">
        <f t="shared" si="1"/>
        <v>45944</v>
      </c>
      <c r="F11" s="10" t="str">
        <f t="shared" si="2"/>
        <v>UK</v>
      </c>
      <c r="G11" s="11" t="s">
        <v>43</v>
      </c>
      <c r="H11" s="11" t="s">
        <v>44</v>
      </c>
      <c r="I11" s="10" t="str">
        <f t="shared" si="3"/>
        <v>Timberland - Hiking Boots</v>
      </c>
      <c r="J11" s="17">
        <v>130</v>
      </c>
      <c r="K11" s="11">
        <v>10</v>
      </c>
      <c r="L11" s="11" t="s">
        <v>45</v>
      </c>
      <c r="O11" s="13" t="s">
        <v>153</v>
      </c>
    </row>
    <row r="12" spans="1:23" ht="15.75" customHeight="1" x14ac:dyDescent="0.25">
      <c r="A12" s="10">
        <v>17</v>
      </c>
      <c r="B12" s="10" t="s">
        <v>93</v>
      </c>
      <c r="C12" s="10" t="s">
        <v>99</v>
      </c>
      <c r="D12" s="10" t="str">
        <f t="shared" si="0"/>
        <v>17-JUN</v>
      </c>
      <c r="E12" s="20">
        <f t="shared" si="1"/>
        <v>45825</v>
      </c>
      <c r="F12" s="10" t="str">
        <f t="shared" si="2"/>
        <v>IN</v>
      </c>
      <c r="G12" s="10" t="s">
        <v>46</v>
      </c>
      <c r="H12" s="10" t="s">
        <v>47</v>
      </c>
      <c r="I12" s="10" t="str">
        <f t="shared" si="3"/>
        <v>HP - Laptop</v>
      </c>
      <c r="J12" s="16">
        <v>950</v>
      </c>
      <c r="K12" s="10">
        <v>25</v>
      </c>
      <c r="L12" s="10" t="s">
        <v>26</v>
      </c>
      <c r="O12" s="13" t="s">
        <v>154</v>
      </c>
    </row>
    <row r="13" spans="1:23" ht="15.75" customHeight="1" x14ac:dyDescent="0.25">
      <c r="A13" s="11">
        <v>25</v>
      </c>
      <c r="B13" s="11" t="s">
        <v>100</v>
      </c>
      <c r="C13" s="11" t="s">
        <v>101</v>
      </c>
      <c r="D13" s="10" t="str">
        <f t="shared" si="0"/>
        <v>25-NOV</v>
      </c>
      <c r="E13" s="20">
        <f t="shared" si="1"/>
        <v>45986</v>
      </c>
      <c r="F13" s="10" t="str">
        <f t="shared" si="2"/>
        <v>AU</v>
      </c>
      <c r="G13" s="11" t="s">
        <v>27</v>
      </c>
      <c r="H13" s="11" t="s">
        <v>38</v>
      </c>
      <c r="I13" s="10" t="str">
        <f t="shared" si="3"/>
        <v>Adidas - Sneakers</v>
      </c>
      <c r="J13" s="17">
        <v>90</v>
      </c>
      <c r="K13" s="11">
        <v>40</v>
      </c>
      <c r="L13" s="11"/>
      <c r="O13" s="12" t="s">
        <v>114</v>
      </c>
    </row>
    <row r="14" spans="1:23" ht="15.75" customHeight="1" x14ac:dyDescent="0.25">
      <c r="A14" s="10">
        <v>8</v>
      </c>
      <c r="B14" s="10" t="s">
        <v>102</v>
      </c>
      <c r="C14" s="10" t="s">
        <v>103</v>
      </c>
      <c r="D14" s="10" t="str">
        <f t="shared" si="0"/>
        <v>8-DEC</v>
      </c>
      <c r="E14" s="20">
        <f t="shared" si="1"/>
        <v>45999</v>
      </c>
      <c r="F14" s="10" t="str">
        <f t="shared" si="2"/>
        <v>DE</v>
      </c>
      <c r="G14" s="10" t="s">
        <v>30</v>
      </c>
      <c r="H14" s="10" t="s">
        <v>48</v>
      </c>
      <c r="I14" s="10" t="str">
        <f t="shared" si="3"/>
        <v>Nespresso - Coffee Maker</v>
      </c>
      <c r="J14" s="16">
        <v>120</v>
      </c>
      <c r="K14" s="10">
        <v>35</v>
      </c>
      <c r="L14" s="22" t="s">
        <v>32</v>
      </c>
      <c r="O14" s="13" t="s">
        <v>155</v>
      </c>
    </row>
    <row r="15" spans="1:23" ht="15.75" customHeight="1" x14ac:dyDescent="0.25">
      <c r="A15" s="11">
        <v>18</v>
      </c>
      <c r="B15" s="11" t="s">
        <v>89</v>
      </c>
      <c r="C15" s="11" t="s">
        <v>104</v>
      </c>
      <c r="D15" s="10" t="str">
        <f t="shared" si="0"/>
        <v>18-FEB</v>
      </c>
      <c r="E15" s="20">
        <f t="shared" si="1"/>
        <v>45706</v>
      </c>
      <c r="F15" s="10" t="str">
        <f t="shared" si="2"/>
        <v>CA</v>
      </c>
      <c r="G15" s="11" t="s">
        <v>49</v>
      </c>
      <c r="H15" s="11" t="s">
        <v>50</v>
      </c>
      <c r="I15" s="10" t="str">
        <f t="shared" si="3"/>
        <v>Fitbit - Smartwatch</v>
      </c>
      <c r="J15" s="17">
        <v>150</v>
      </c>
      <c r="K15" s="11">
        <v>15</v>
      </c>
      <c r="L15" s="11" t="s">
        <v>26</v>
      </c>
      <c r="O15" s="13" t="s">
        <v>156</v>
      </c>
    </row>
    <row r="16" spans="1:23" ht="15.75" customHeight="1" x14ac:dyDescent="0.25">
      <c r="A16" s="10">
        <v>16</v>
      </c>
      <c r="B16" s="10" t="s">
        <v>91</v>
      </c>
      <c r="C16" s="10" t="s">
        <v>105</v>
      </c>
      <c r="D16" s="10" t="str">
        <f t="shared" si="0"/>
        <v>16-APR</v>
      </c>
      <c r="E16" s="20">
        <f t="shared" si="1"/>
        <v>45763</v>
      </c>
      <c r="F16" s="10" t="str">
        <f t="shared" si="2"/>
        <v>ES</v>
      </c>
      <c r="G16" s="10" t="s">
        <v>36</v>
      </c>
      <c r="H16" s="10" t="s">
        <v>51</v>
      </c>
      <c r="I16" s="10" t="str">
        <f t="shared" si="3"/>
        <v>Bose - Headphones</v>
      </c>
      <c r="J16" s="16">
        <v>250</v>
      </c>
      <c r="K16" s="10">
        <v>20</v>
      </c>
      <c r="L16" s="10" t="s">
        <v>26</v>
      </c>
      <c r="O16" s="12" t="s">
        <v>116</v>
      </c>
    </row>
    <row r="17" spans="1:15" ht="15.75" customHeight="1" x14ac:dyDescent="0.25">
      <c r="A17" s="11">
        <v>21</v>
      </c>
      <c r="B17" s="11" t="s">
        <v>96</v>
      </c>
      <c r="C17" s="11" t="s">
        <v>104</v>
      </c>
      <c r="D17" s="10" t="str">
        <f t="shared" si="0"/>
        <v>21-AUG</v>
      </c>
      <c r="E17" s="20">
        <f t="shared" si="1"/>
        <v>45890</v>
      </c>
      <c r="F17" s="10" t="str">
        <f t="shared" si="2"/>
        <v>CA</v>
      </c>
      <c r="G17" s="11" t="s">
        <v>52</v>
      </c>
      <c r="H17" s="11" t="s">
        <v>53</v>
      </c>
      <c r="I17" s="10" t="str">
        <f t="shared" si="3"/>
        <v>Samsonite - Laptop Bag</v>
      </c>
      <c r="J17" s="17">
        <v>50</v>
      </c>
      <c r="K17" s="11">
        <v>35</v>
      </c>
      <c r="L17" s="11" t="s">
        <v>54</v>
      </c>
      <c r="O17" s="13" t="s">
        <v>157</v>
      </c>
    </row>
    <row r="18" spans="1:15" ht="15.75" customHeight="1" x14ac:dyDescent="0.25">
      <c r="A18" s="10">
        <v>20</v>
      </c>
      <c r="B18" s="10" t="s">
        <v>96</v>
      </c>
      <c r="C18" s="10" t="s">
        <v>106</v>
      </c>
      <c r="D18" s="10" t="str">
        <f t="shared" si="0"/>
        <v>20-AUG</v>
      </c>
      <c r="E18" s="20">
        <f t="shared" si="1"/>
        <v>45889</v>
      </c>
      <c r="F18" s="10" t="str">
        <f t="shared" si="2"/>
        <v>CN</v>
      </c>
      <c r="G18" s="10" t="s">
        <v>49</v>
      </c>
      <c r="H18" s="10" t="s">
        <v>55</v>
      </c>
      <c r="I18" s="10" t="str">
        <f t="shared" si="3"/>
        <v>Huawei - Smartwatch</v>
      </c>
      <c r="J18" s="16">
        <v>160</v>
      </c>
      <c r="K18" s="10">
        <v>15</v>
      </c>
      <c r="L18" s="10" t="s">
        <v>26</v>
      </c>
      <c r="O18" s="13" t="s">
        <v>158</v>
      </c>
    </row>
    <row r="19" spans="1:15" ht="15.75" customHeight="1" x14ac:dyDescent="0.25">
      <c r="A19" s="11">
        <v>27</v>
      </c>
      <c r="B19" s="11" t="s">
        <v>87</v>
      </c>
      <c r="C19" s="11" t="s">
        <v>107</v>
      </c>
      <c r="D19" s="10" t="str">
        <f t="shared" si="0"/>
        <v>27-JAN</v>
      </c>
      <c r="E19" s="20">
        <f t="shared" si="1"/>
        <v>45684</v>
      </c>
      <c r="F19" s="10" t="str">
        <f t="shared" si="2"/>
        <v>IT</v>
      </c>
      <c r="G19" s="11" t="s">
        <v>46</v>
      </c>
      <c r="H19" s="11" t="s">
        <v>56</v>
      </c>
      <c r="I19" s="10" t="str">
        <f t="shared" si="3"/>
        <v>Asus - Laptop</v>
      </c>
      <c r="J19" s="17">
        <v>980</v>
      </c>
      <c r="K19" s="11">
        <v>10</v>
      </c>
      <c r="L19" s="11" t="s">
        <v>26</v>
      </c>
    </row>
    <row r="20" spans="1:15" ht="15.75" customHeight="1" x14ac:dyDescent="0.25">
      <c r="A20" s="10">
        <v>1</v>
      </c>
      <c r="B20" s="10" t="s">
        <v>90</v>
      </c>
      <c r="C20" s="10" t="s">
        <v>94</v>
      </c>
      <c r="D20" s="10" t="str">
        <f t="shared" si="0"/>
        <v>1-MAR</v>
      </c>
      <c r="E20" s="20">
        <f t="shared" si="1"/>
        <v>45717</v>
      </c>
      <c r="F20" s="10" t="str">
        <f t="shared" si="2"/>
        <v>UK</v>
      </c>
      <c r="G20" s="10" t="s">
        <v>57</v>
      </c>
      <c r="H20" s="10" t="s">
        <v>58</v>
      </c>
      <c r="I20" s="10" t="str">
        <f t="shared" si="3"/>
        <v>Oakley - Sunglasses</v>
      </c>
      <c r="J20" s="16">
        <v>150</v>
      </c>
      <c r="K20" s="10">
        <v>15</v>
      </c>
      <c r="L20" s="10" t="s">
        <v>29</v>
      </c>
    </row>
    <row r="21" spans="1:15" ht="15.75" customHeight="1" x14ac:dyDescent="0.3">
      <c r="A21" s="11">
        <v>14</v>
      </c>
      <c r="B21" s="11" t="s">
        <v>96</v>
      </c>
      <c r="C21" s="11" t="s">
        <v>88</v>
      </c>
      <c r="D21" s="10" t="str">
        <f t="shared" si="0"/>
        <v>14-AUG</v>
      </c>
      <c r="E21" s="20">
        <f t="shared" si="1"/>
        <v>45883</v>
      </c>
      <c r="F21" s="10" t="str">
        <f t="shared" si="2"/>
        <v>US</v>
      </c>
      <c r="G21" s="11" t="s">
        <v>59</v>
      </c>
      <c r="H21" s="11" t="s">
        <v>60</v>
      </c>
      <c r="I21" s="10" t="str">
        <f t="shared" si="3"/>
        <v>Coleman - Camping Tent</v>
      </c>
      <c r="J21" s="21">
        <v>130</v>
      </c>
      <c r="K21" s="11">
        <v>10</v>
      </c>
      <c r="L21" s="11" t="s">
        <v>45</v>
      </c>
      <c r="O21" s="26" t="s">
        <v>148</v>
      </c>
    </row>
    <row r="22" spans="1:15" ht="15.75" customHeight="1" x14ac:dyDescent="0.25">
      <c r="A22" s="10">
        <v>14</v>
      </c>
      <c r="B22" s="10" t="s">
        <v>92</v>
      </c>
      <c r="C22" s="10" t="s">
        <v>108</v>
      </c>
      <c r="D22" s="10" t="str">
        <f t="shared" si="0"/>
        <v>14-MAY</v>
      </c>
      <c r="E22" s="20">
        <f t="shared" si="1"/>
        <v>45791</v>
      </c>
      <c r="F22" s="10" t="str">
        <f t="shared" si="2"/>
        <v>RU</v>
      </c>
      <c r="G22" s="10" t="s">
        <v>61</v>
      </c>
      <c r="H22" s="10" t="s">
        <v>62</v>
      </c>
      <c r="I22" s="10" t="str">
        <f t="shared" si="3"/>
        <v>Nikon - Camera</v>
      </c>
      <c r="J22" s="16">
        <v>700</v>
      </c>
      <c r="K22" s="10">
        <v>50</v>
      </c>
      <c r="L22" s="10" t="s">
        <v>26</v>
      </c>
    </row>
    <row r="23" spans="1:15" ht="15.75" customHeight="1" x14ac:dyDescent="0.25">
      <c r="A23" s="11">
        <v>9</v>
      </c>
      <c r="B23" s="11" t="s">
        <v>87</v>
      </c>
      <c r="C23" s="11" t="s">
        <v>104</v>
      </c>
      <c r="D23" s="10" t="str">
        <f t="shared" si="0"/>
        <v>9-JAN</v>
      </c>
      <c r="E23" s="20">
        <f t="shared" si="1"/>
        <v>45666</v>
      </c>
      <c r="F23" s="10" t="str">
        <f t="shared" si="2"/>
        <v>CA</v>
      </c>
      <c r="G23" s="11" t="s">
        <v>63</v>
      </c>
      <c r="H23" s="11" t="s">
        <v>64</v>
      </c>
      <c r="I23" s="10" t="str">
        <f t="shared" si="3"/>
        <v>Panasonic - Microwave</v>
      </c>
      <c r="J23" s="17">
        <v>80</v>
      </c>
      <c r="K23" s="11">
        <v>20</v>
      </c>
      <c r="L23" s="11" t="s">
        <v>32</v>
      </c>
    </row>
    <row r="24" spans="1:15" ht="15.75" customHeight="1" x14ac:dyDescent="0.25">
      <c r="A24" s="10">
        <v>19</v>
      </c>
      <c r="B24" s="10" t="s">
        <v>95</v>
      </c>
      <c r="C24" s="10" t="s">
        <v>109</v>
      </c>
      <c r="D24" s="10" t="str">
        <f t="shared" si="0"/>
        <v>19-JUL</v>
      </c>
      <c r="E24" s="20">
        <f t="shared" si="1"/>
        <v>45857</v>
      </c>
      <c r="F24" s="10" t="str">
        <f t="shared" si="2"/>
        <v>BR</v>
      </c>
      <c r="G24" s="10" t="s">
        <v>65</v>
      </c>
      <c r="H24" s="10" t="s">
        <v>66</v>
      </c>
      <c r="I24" s="10" t="str">
        <f t="shared" si="3"/>
        <v>Xiaomi - Fitness Tracker</v>
      </c>
      <c r="J24" s="16">
        <v>150</v>
      </c>
      <c r="K24" s="10">
        <v>30</v>
      </c>
      <c r="L24" s="23" t="s">
        <v>26</v>
      </c>
    </row>
    <row r="25" spans="1:15" ht="15.75" customHeight="1" x14ac:dyDescent="0.25">
      <c r="A25" s="10">
        <v>29</v>
      </c>
      <c r="B25" s="10" t="s">
        <v>97</v>
      </c>
      <c r="C25" s="10" t="s">
        <v>104</v>
      </c>
      <c r="D25" s="10" t="str">
        <f t="shared" si="0"/>
        <v>29-SEP</v>
      </c>
      <c r="E25" s="20">
        <f t="shared" si="1"/>
        <v>45929</v>
      </c>
      <c r="F25" s="10" t="str">
        <f t="shared" si="2"/>
        <v>CA</v>
      </c>
      <c r="G25" s="10" t="s">
        <v>67</v>
      </c>
      <c r="H25" s="10" t="s">
        <v>68</v>
      </c>
      <c r="I25" s="10" t="str">
        <f t="shared" si="3"/>
        <v>Google - Smartphone</v>
      </c>
      <c r="J25" s="16">
        <v>800</v>
      </c>
      <c r="K25" s="10">
        <v>45</v>
      </c>
      <c r="L25" s="10" t="s">
        <v>26</v>
      </c>
    </row>
    <row r="26" spans="1:15" ht="15.75" customHeight="1" x14ac:dyDescent="0.25">
      <c r="A26" s="11">
        <v>3</v>
      </c>
      <c r="B26" s="11" t="s">
        <v>93</v>
      </c>
      <c r="C26" s="11" t="s">
        <v>104</v>
      </c>
      <c r="D26" s="10" t="str">
        <f t="shared" si="0"/>
        <v>3-JUN</v>
      </c>
      <c r="E26" s="20">
        <f t="shared" si="1"/>
        <v>45811</v>
      </c>
      <c r="F26" s="10" t="str">
        <f t="shared" si="2"/>
        <v>CA</v>
      </c>
      <c r="G26" s="11" t="s">
        <v>57</v>
      </c>
      <c r="H26" s="11" t="s">
        <v>69</v>
      </c>
      <c r="I26" s="10" t="str">
        <f t="shared" si="3"/>
        <v>Ray-Ban - Sunglasses</v>
      </c>
      <c r="J26" s="21">
        <v>150</v>
      </c>
      <c r="K26" s="11">
        <v>25</v>
      </c>
      <c r="L26" s="11" t="s">
        <v>29</v>
      </c>
    </row>
    <row r="27" spans="1:15" ht="15.75" customHeight="1" x14ac:dyDescent="0.25">
      <c r="A27" s="10">
        <v>11</v>
      </c>
      <c r="B27" s="10" t="s">
        <v>95</v>
      </c>
      <c r="C27" s="10" t="s">
        <v>104</v>
      </c>
      <c r="D27" s="10" t="str">
        <f t="shared" si="0"/>
        <v>11-JUL</v>
      </c>
      <c r="E27" s="20">
        <f t="shared" si="1"/>
        <v>45849</v>
      </c>
      <c r="F27" s="10" t="str">
        <f t="shared" si="2"/>
        <v>CA</v>
      </c>
      <c r="G27" s="10" t="s">
        <v>39</v>
      </c>
      <c r="H27" s="10" t="s">
        <v>70</v>
      </c>
      <c r="I27" s="10" t="str">
        <f t="shared" si="3"/>
        <v>Vitamix - Blender</v>
      </c>
      <c r="J27" s="16">
        <v>400</v>
      </c>
      <c r="K27" s="10">
        <v>40</v>
      </c>
      <c r="L27" s="10" t="s">
        <v>32</v>
      </c>
    </row>
    <row r="28" spans="1:15" ht="15.75" customHeight="1" x14ac:dyDescent="0.25">
      <c r="A28" s="10">
        <v>7</v>
      </c>
      <c r="B28" s="10" t="s">
        <v>90</v>
      </c>
      <c r="C28" s="10" t="s">
        <v>104</v>
      </c>
      <c r="D28" s="10" t="str">
        <f t="shared" si="0"/>
        <v>7-MAR</v>
      </c>
      <c r="E28" s="20">
        <f t="shared" si="1"/>
        <v>45723</v>
      </c>
      <c r="F28" s="10" t="str">
        <f t="shared" si="2"/>
        <v>CA</v>
      </c>
      <c r="G28" s="10" t="s">
        <v>71</v>
      </c>
      <c r="H28" s="10" t="s">
        <v>72</v>
      </c>
      <c r="I28" s="10" t="str">
        <f t="shared" si="3"/>
        <v>Zara - Dress</v>
      </c>
      <c r="J28" s="16">
        <v>60</v>
      </c>
      <c r="K28" s="10">
        <v>30</v>
      </c>
      <c r="L28" s="10" t="s">
        <v>29</v>
      </c>
    </row>
    <row r="29" spans="1:15" ht="15.75" customHeight="1" x14ac:dyDescent="0.25">
      <c r="A29" s="11">
        <v>13</v>
      </c>
      <c r="B29" s="11" t="s">
        <v>91</v>
      </c>
      <c r="C29" s="11" t="s">
        <v>104</v>
      </c>
      <c r="D29" s="10" t="str">
        <f t="shared" si="0"/>
        <v>13-APR</v>
      </c>
      <c r="E29" s="20">
        <f t="shared" si="1"/>
        <v>45760</v>
      </c>
      <c r="F29" s="10" t="str">
        <f t="shared" si="2"/>
        <v>CA</v>
      </c>
      <c r="G29" s="11" t="s">
        <v>73</v>
      </c>
      <c r="H29" s="11" t="s">
        <v>74</v>
      </c>
      <c r="I29" s="10" t="str">
        <f t="shared" si="3"/>
        <v>Hamilton - Toaster</v>
      </c>
      <c r="J29" s="17">
        <v>40</v>
      </c>
      <c r="K29" s="11">
        <v>10</v>
      </c>
      <c r="L29" s="11" t="s">
        <v>32</v>
      </c>
    </row>
    <row r="30" spans="1:15" ht="15.75" customHeight="1" x14ac:dyDescent="0.25">
      <c r="A30" s="10">
        <v>24</v>
      </c>
      <c r="B30" s="10" t="s">
        <v>92</v>
      </c>
      <c r="C30" s="10" t="s">
        <v>104</v>
      </c>
      <c r="D30" s="10" t="str">
        <f t="shared" si="0"/>
        <v>24-MAY</v>
      </c>
      <c r="E30" s="20">
        <f t="shared" si="1"/>
        <v>45801</v>
      </c>
      <c r="F30" s="10" t="str">
        <f t="shared" si="2"/>
        <v>CA</v>
      </c>
      <c r="G30" s="10" t="s">
        <v>65</v>
      </c>
      <c r="H30" s="10" t="s">
        <v>75</v>
      </c>
      <c r="I30" s="10" t="str">
        <f t="shared" si="3"/>
        <v>Garmin - Fitness Tracker</v>
      </c>
      <c r="J30" s="16">
        <v>130</v>
      </c>
      <c r="K30" s="10">
        <v>5</v>
      </c>
      <c r="L30" s="10" t="s">
        <v>26</v>
      </c>
    </row>
    <row r="31" spans="1:15" ht="15.75" customHeight="1" x14ac:dyDescent="0.25">
      <c r="A31" s="11">
        <v>2</v>
      </c>
      <c r="B31" s="11" t="s">
        <v>102</v>
      </c>
      <c r="C31" s="11" t="s">
        <v>104</v>
      </c>
      <c r="D31" s="10" t="str">
        <f t="shared" si="0"/>
        <v>2-DEC</v>
      </c>
      <c r="E31" s="20">
        <f>DATE(2025,MONTH(DATEVALUE(B31&amp;" 1")),A31)</f>
        <v>45993</v>
      </c>
      <c r="F31" s="10" t="str">
        <f t="shared" si="2"/>
        <v>CA</v>
      </c>
      <c r="G31" s="11" t="s">
        <v>76</v>
      </c>
      <c r="H31" s="11" t="s">
        <v>77</v>
      </c>
      <c r="I31" s="10" t="str">
        <f t="shared" si="3"/>
        <v>Levi's - Jeans</v>
      </c>
      <c r="J31" s="17">
        <v>50</v>
      </c>
      <c r="K31" s="11">
        <v>50</v>
      </c>
      <c r="L31" s="11" t="s">
        <v>29</v>
      </c>
    </row>
    <row r="32" spans="1:15" ht="15.75" customHeight="1" x14ac:dyDescent="0.25">
      <c r="A32" s="11">
        <v>9</v>
      </c>
      <c r="B32" s="11" t="s">
        <v>95</v>
      </c>
      <c r="C32" s="11" t="s">
        <v>110</v>
      </c>
      <c r="D32" s="10" t="str">
        <f t="shared" si="0"/>
        <v>9-JUL</v>
      </c>
      <c r="E32" s="20">
        <f t="shared" si="1"/>
        <v>45847</v>
      </c>
      <c r="F32" s="10" t="str">
        <f t="shared" si="2"/>
        <v>FR</v>
      </c>
      <c r="G32" s="11" t="s">
        <v>78</v>
      </c>
      <c r="H32" s="11" t="s">
        <v>79</v>
      </c>
      <c r="I32" s="10" t="str">
        <f t="shared" si="3"/>
        <v>Casio - Watch</v>
      </c>
      <c r="J32" s="17">
        <v>100</v>
      </c>
      <c r="K32" s="11">
        <v>20</v>
      </c>
      <c r="L32" s="11" t="s">
        <v>54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2:J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{49687AFD-E3F9-4359-BCB1-5985A870C883}</x14:id>
        </ext>
      </extLst>
    </cfRule>
  </conditionalFormatting>
  <conditionalFormatting sqref="L2:L32">
    <cfRule type="containsText" dxfId="2" priority="2" operator="containsText" text="Electronics">
      <formula>NOT(ISERROR(SEARCH("Electronics",L2)))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687AFD-E3F9-4359-BCB1-5985A870C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70B7-F64C-4151-BDE1-DFFE1AA5B328}">
  <dimension ref="A1:F32"/>
  <sheetViews>
    <sheetView zoomScale="80" zoomScaleNormal="80" workbookViewId="0">
      <selection activeCell="H28" sqref="H28"/>
    </sheetView>
  </sheetViews>
  <sheetFormatPr defaultRowHeight="13.2" x14ac:dyDescent="0.25"/>
  <cols>
    <col min="1" max="1" width="27.6640625" customWidth="1"/>
    <col min="2" max="2" width="17.77734375" customWidth="1"/>
    <col min="3" max="3" width="22.109375" customWidth="1"/>
    <col min="4" max="5" width="9.77734375" customWidth="1"/>
    <col min="6" max="6" width="14.109375" customWidth="1"/>
  </cols>
  <sheetData>
    <row r="1" spans="1:6" x14ac:dyDescent="0.25">
      <c r="A1" s="24" t="s">
        <v>115</v>
      </c>
      <c r="B1" s="25" t="s">
        <v>112</v>
      </c>
      <c r="C1" s="25" t="s">
        <v>113</v>
      </c>
      <c r="D1" s="25" t="s">
        <v>22</v>
      </c>
      <c r="E1" s="25" t="s">
        <v>23</v>
      </c>
      <c r="F1" s="25" t="s">
        <v>24</v>
      </c>
    </row>
    <row r="2" spans="1:6" x14ac:dyDescent="0.25">
      <c r="A2" s="20">
        <v>45685</v>
      </c>
      <c r="B2" t="s">
        <v>88</v>
      </c>
      <c r="C2" t="s">
        <v>117</v>
      </c>
      <c r="D2">
        <v>1000</v>
      </c>
      <c r="E2">
        <v>30</v>
      </c>
      <c r="F2" t="s">
        <v>26</v>
      </c>
    </row>
    <row r="3" spans="1:6" x14ac:dyDescent="0.25">
      <c r="A3" s="20">
        <v>45703</v>
      </c>
      <c r="B3" t="s">
        <v>88</v>
      </c>
      <c r="C3" t="s">
        <v>118</v>
      </c>
      <c r="D3">
        <v>80</v>
      </c>
      <c r="E3">
        <v>15</v>
      </c>
      <c r="F3" t="s">
        <v>29</v>
      </c>
    </row>
    <row r="4" spans="1:6" x14ac:dyDescent="0.25">
      <c r="A4" s="20">
        <v>45719</v>
      </c>
      <c r="B4" t="s">
        <v>88</v>
      </c>
      <c r="C4" t="s">
        <v>119</v>
      </c>
      <c r="D4">
        <v>130</v>
      </c>
      <c r="E4">
        <v>40</v>
      </c>
      <c r="F4" t="s">
        <v>32</v>
      </c>
    </row>
    <row r="5" spans="1:6" x14ac:dyDescent="0.25">
      <c r="A5" s="20">
        <v>45758</v>
      </c>
      <c r="B5" t="s">
        <v>88</v>
      </c>
      <c r="C5" t="s">
        <v>120</v>
      </c>
      <c r="D5">
        <v>900</v>
      </c>
      <c r="E5">
        <v>25</v>
      </c>
      <c r="F5" t="s">
        <v>26</v>
      </c>
    </row>
    <row r="6" spans="1:6" x14ac:dyDescent="0.25">
      <c r="A6" s="20">
        <v>45799</v>
      </c>
      <c r="B6" t="s">
        <v>88</v>
      </c>
      <c r="C6" t="s">
        <v>121</v>
      </c>
      <c r="D6">
        <v>70</v>
      </c>
      <c r="E6">
        <v>20</v>
      </c>
      <c r="F6" t="s">
        <v>45</v>
      </c>
    </row>
    <row r="7" spans="1:6" x14ac:dyDescent="0.25">
      <c r="A7" s="20">
        <v>45815</v>
      </c>
      <c r="B7" t="s">
        <v>94</v>
      </c>
      <c r="C7" t="s">
        <v>122</v>
      </c>
      <c r="D7">
        <v>250</v>
      </c>
      <c r="E7">
        <v>45</v>
      </c>
      <c r="F7" t="s">
        <v>26</v>
      </c>
    </row>
    <row r="8" spans="1:6" x14ac:dyDescent="0.25">
      <c r="A8" s="20">
        <v>45857</v>
      </c>
      <c r="B8" t="s">
        <v>94</v>
      </c>
      <c r="C8" t="s">
        <v>123</v>
      </c>
      <c r="D8">
        <v>30</v>
      </c>
      <c r="E8">
        <v>5</v>
      </c>
      <c r="F8" t="s">
        <v>29</v>
      </c>
    </row>
    <row r="9" spans="1:6" x14ac:dyDescent="0.25">
      <c r="A9" s="20">
        <v>45892</v>
      </c>
      <c r="B9" t="s">
        <v>94</v>
      </c>
      <c r="C9" t="s">
        <v>124</v>
      </c>
      <c r="D9">
        <v>90</v>
      </c>
      <c r="E9">
        <v>35</v>
      </c>
      <c r="F9" t="s">
        <v>32</v>
      </c>
    </row>
    <row r="10" spans="1:6" x14ac:dyDescent="0.25">
      <c r="A10" s="20">
        <v>45905</v>
      </c>
      <c r="B10" t="s">
        <v>94</v>
      </c>
      <c r="C10" t="s">
        <v>125</v>
      </c>
      <c r="D10">
        <v>500</v>
      </c>
      <c r="E10">
        <v>50</v>
      </c>
      <c r="F10" t="s">
        <v>26</v>
      </c>
    </row>
    <row r="11" spans="1:6" x14ac:dyDescent="0.25">
      <c r="A11" s="20">
        <v>45944</v>
      </c>
      <c r="B11" t="s">
        <v>94</v>
      </c>
      <c r="C11" t="s">
        <v>126</v>
      </c>
      <c r="D11">
        <v>130</v>
      </c>
      <c r="E11">
        <v>10</v>
      </c>
      <c r="F11" t="s">
        <v>45</v>
      </c>
    </row>
    <row r="12" spans="1:6" x14ac:dyDescent="0.25">
      <c r="A12" s="20">
        <v>45825</v>
      </c>
      <c r="B12" t="s">
        <v>99</v>
      </c>
      <c r="C12" t="s">
        <v>127</v>
      </c>
      <c r="D12">
        <v>950</v>
      </c>
      <c r="E12">
        <v>25</v>
      </c>
      <c r="F12" t="s">
        <v>26</v>
      </c>
    </row>
    <row r="13" spans="1:6" x14ac:dyDescent="0.25">
      <c r="A13" s="20">
        <v>45986</v>
      </c>
      <c r="B13" t="s">
        <v>101</v>
      </c>
      <c r="C13" t="s">
        <v>128</v>
      </c>
      <c r="D13">
        <v>90</v>
      </c>
      <c r="E13">
        <v>40</v>
      </c>
    </row>
    <row r="14" spans="1:6" x14ac:dyDescent="0.25">
      <c r="A14" s="20">
        <v>45999</v>
      </c>
      <c r="B14" t="s">
        <v>103</v>
      </c>
      <c r="C14" t="s">
        <v>129</v>
      </c>
      <c r="D14">
        <v>120</v>
      </c>
      <c r="E14">
        <v>35</v>
      </c>
      <c r="F14" t="s">
        <v>32</v>
      </c>
    </row>
    <row r="15" spans="1:6" x14ac:dyDescent="0.25">
      <c r="A15" s="20">
        <v>45706</v>
      </c>
      <c r="B15" t="s">
        <v>104</v>
      </c>
      <c r="C15" t="s">
        <v>130</v>
      </c>
      <c r="D15">
        <v>150</v>
      </c>
      <c r="E15">
        <v>15</v>
      </c>
      <c r="F15" t="s">
        <v>26</v>
      </c>
    </row>
    <row r="16" spans="1:6" x14ac:dyDescent="0.25">
      <c r="A16" s="20">
        <v>45763</v>
      </c>
      <c r="B16" t="s">
        <v>105</v>
      </c>
      <c r="C16" t="s">
        <v>131</v>
      </c>
      <c r="D16">
        <v>250</v>
      </c>
      <c r="E16">
        <v>20</v>
      </c>
      <c r="F16" t="s">
        <v>26</v>
      </c>
    </row>
    <row r="17" spans="1:6" x14ac:dyDescent="0.25">
      <c r="A17" s="20">
        <v>45890</v>
      </c>
      <c r="B17" t="s">
        <v>104</v>
      </c>
      <c r="C17" t="s">
        <v>132</v>
      </c>
      <c r="D17">
        <v>50</v>
      </c>
      <c r="E17">
        <v>35</v>
      </c>
      <c r="F17" t="s">
        <v>54</v>
      </c>
    </row>
    <row r="18" spans="1:6" x14ac:dyDescent="0.25">
      <c r="A18" s="20">
        <v>45889</v>
      </c>
      <c r="B18" t="s">
        <v>106</v>
      </c>
      <c r="C18" t="s">
        <v>133</v>
      </c>
      <c r="D18">
        <v>160</v>
      </c>
      <c r="E18">
        <v>15</v>
      </c>
      <c r="F18" t="s">
        <v>26</v>
      </c>
    </row>
    <row r="19" spans="1:6" x14ac:dyDescent="0.25">
      <c r="A19" s="20">
        <v>45684</v>
      </c>
      <c r="B19" t="s">
        <v>107</v>
      </c>
      <c r="C19" t="s">
        <v>134</v>
      </c>
      <c r="D19">
        <v>980</v>
      </c>
      <c r="E19">
        <v>10</v>
      </c>
      <c r="F19" t="s">
        <v>26</v>
      </c>
    </row>
    <row r="20" spans="1:6" x14ac:dyDescent="0.25">
      <c r="A20" s="20">
        <v>45717</v>
      </c>
      <c r="B20" t="s">
        <v>94</v>
      </c>
      <c r="C20" t="s">
        <v>135</v>
      </c>
      <c r="D20">
        <v>150</v>
      </c>
      <c r="E20">
        <v>15</v>
      </c>
      <c r="F20" t="s">
        <v>29</v>
      </c>
    </row>
    <row r="21" spans="1:6" x14ac:dyDescent="0.25">
      <c r="A21" s="20">
        <v>45883</v>
      </c>
      <c r="B21" t="s">
        <v>88</v>
      </c>
      <c r="C21" t="s">
        <v>136</v>
      </c>
      <c r="D21">
        <v>130</v>
      </c>
      <c r="E21">
        <v>10</v>
      </c>
      <c r="F21" t="s">
        <v>45</v>
      </c>
    </row>
    <row r="22" spans="1:6" x14ac:dyDescent="0.25">
      <c r="A22" s="20">
        <v>45791</v>
      </c>
      <c r="B22" t="s">
        <v>108</v>
      </c>
      <c r="C22" t="s">
        <v>137</v>
      </c>
      <c r="D22">
        <v>700</v>
      </c>
      <c r="E22">
        <v>50</v>
      </c>
      <c r="F22" t="s">
        <v>26</v>
      </c>
    </row>
    <row r="23" spans="1:6" x14ac:dyDescent="0.25">
      <c r="A23" s="20">
        <v>45666</v>
      </c>
      <c r="B23" t="s">
        <v>104</v>
      </c>
      <c r="C23" t="s">
        <v>138</v>
      </c>
      <c r="D23">
        <v>80</v>
      </c>
      <c r="E23">
        <v>20</v>
      </c>
      <c r="F23" t="s">
        <v>32</v>
      </c>
    </row>
    <row r="24" spans="1:6" x14ac:dyDescent="0.25">
      <c r="A24" s="20">
        <v>45857</v>
      </c>
      <c r="B24" t="s">
        <v>109</v>
      </c>
      <c r="C24" t="s">
        <v>139</v>
      </c>
      <c r="D24">
        <v>150</v>
      </c>
      <c r="E24">
        <v>30</v>
      </c>
      <c r="F24" t="s">
        <v>26</v>
      </c>
    </row>
    <row r="25" spans="1:6" x14ac:dyDescent="0.25">
      <c r="A25" s="20">
        <v>45929</v>
      </c>
      <c r="B25" t="s">
        <v>104</v>
      </c>
      <c r="C25" t="s">
        <v>140</v>
      </c>
      <c r="D25">
        <v>800</v>
      </c>
      <c r="E25">
        <v>45</v>
      </c>
      <c r="F25" t="s">
        <v>26</v>
      </c>
    </row>
    <row r="26" spans="1:6" x14ac:dyDescent="0.25">
      <c r="A26" s="20">
        <v>45811</v>
      </c>
      <c r="B26" t="s">
        <v>104</v>
      </c>
      <c r="C26" t="s">
        <v>141</v>
      </c>
      <c r="D26">
        <v>150</v>
      </c>
      <c r="E26">
        <v>25</v>
      </c>
      <c r="F26" t="s">
        <v>29</v>
      </c>
    </row>
    <row r="27" spans="1:6" x14ac:dyDescent="0.25">
      <c r="A27" s="20">
        <v>45849</v>
      </c>
      <c r="B27" t="s">
        <v>104</v>
      </c>
      <c r="C27" t="s">
        <v>142</v>
      </c>
      <c r="D27">
        <v>400</v>
      </c>
      <c r="E27">
        <v>40</v>
      </c>
      <c r="F27" t="s">
        <v>32</v>
      </c>
    </row>
    <row r="28" spans="1:6" x14ac:dyDescent="0.25">
      <c r="A28" s="20">
        <v>45723</v>
      </c>
      <c r="B28" t="s">
        <v>104</v>
      </c>
      <c r="C28" t="s">
        <v>143</v>
      </c>
      <c r="D28">
        <v>60</v>
      </c>
      <c r="E28">
        <v>30</v>
      </c>
      <c r="F28" t="s">
        <v>29</v>
      </c>
    </row>
    <row r="29" spans="1:6" x14ac:dyDescent="0.25">
      <c r="A29" s="20">
        <v>45760</v>
      </c>
      <c r="B29" t="s">
        <v>104</v>
      </c>
      <c r="C29" t="s">
        <v>144</v>
      </c>
      <c r="D29">
        <v>40</v>
      </c>
      <c r="E29">
        <v>10</v>
      </c>
      <c r="F29" t="s">
        <v>32</v>
      </c>
    </row>
    <row r="30" spans="1:6" x14ac:dyDescent="0.25">
      <c r="A30" s="20">
        <v>45801</v>
      </c>
      <c r="B30" t="s">
        <v>104</v>
      </c>
      <c r="C30" t="s">
        <v>145</v>
      </c>
      <c r="D30">
        <v>130</v>
      </c>
      <c r="E30">
        <v>5</v>
      </c>
      <c r="F30" t="s">
        <v>26</v>
      </c>
    </row>
    <row r="31" spans="1:6" x14ac:dyDescent="0.25">
      <c r="A31" s="20">
        <v>45993</v>
      </c>
      <c r="B31" t="s">
        <v>104</v>
      </c>
      <c r="C31" t="s">
        <v>146</v>
      </c>
      <c r="D31">
        <v>50</v>
      </c>
      <c r="E31">
        <v>50</v>
      </c>
      <c r="F31" t="s">
        <v>29</v>
      </c>
    </row>
    <row r="32" spans="1:6" x14ac:dyDescent="0.25">
      <c r="A32" s="20">
        <v>45847</v>
      </c>
      <c r="B32" t="s">
        <v>110</v>
      </c>
      <c r="C32" t="s">
        <v>147</v>
      </c>
      <c r="D32">
        <v>100</v>
      </c>
      <c r="E32">
        <v>20</v>
      </c>
      <c r="F32" t="s">
        <v>54</v>
      </c>
    </row>
  </sheetData>
  <conditionalFormatting sqref="D2:D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{23D8C9E2-A17D-4F56-B77B-1CC5C78A928B}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D8C9E2-A17D-4F56-B77B-1CC5C78A9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 C JUSTIN</dc:creator>
  <cp:lastModifiedBy>Belbin Shibi(UST,IN)</cp:lastModifiedBy>
  <dcterms:created xsi:type="dcterms:W3CDTF">2026-09-15T17:48:11Z</dcterms:created>
  <dcterms:modified xsi:type="dcterms:W3CDTF">2026-09-15T17:48:23Z</dcterms:modified>
</cp:coreProperties>
</file>